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itkumargupta/Desktop/4 project/EXCEL/"/>
    </mc:Choice>
  </mc:AlternateContent>
  <xr:revisionPtr revIDLastSave="0" documentId="13_ncr:1_{869BFC3A-85B0-9641-8A61-CAAB06AA05EC}" xr6:coauthVersionLast="47" xr6:coauthVersionMax="47" xr10:uidLastSave="{00000000-0000-0000-0000-000000000000}"/>
  <bookViews>
    <workbookView xWindow="0" yWindow="660" windowWidth="29400" windowHeight="18460" firstSheet="1" activeTab="4" xr2:uid="{2D258FC7-79AB-AA48-B625-6369486D0ADD}"/>
  </bookViews>
  <sheets>
    <sheet name="1_RBI_Data" sheetId="10" r:id="rId1"/>
    <sheet name="2_UPI_Data" sheetId="3" r:id="rId2"/>
    <sheet name="3_Population" sheetId="1" r:id="rId3"/>
    <sheet name="4_State_Data" sheetId="2" r:id="rId4"/>
    <sheet name="5_Competitors" sheetId="5" r:id="rId5"/>
    <sheet name="6_BNPL_Market" sheetId="6" r:id="rId6"/>
    <sheet name="7_Customer_Segments" sheetId="7" r:id="rId7"/>
    <sheet name="8_Risks_Regulation" sheetId="11" r:id="rId8"/>
    <sheet name="9_Merchant_Segments" sheetId="8" r:id="rId9"/>
    <sheet name="10_Unit_Economics" sheetId="9" r:id="rId10"/>
    <sheet name="11_Market_Sizing" sheetId="12" r:id="rId11"/>
    <sheet name="12_Financial_Model" sheetId="14" r:id="rId12"/>
    <sheet name="13_Executive_Dashboard" sheetId="16" r:id="rId13"/>
    <sheet name="14_Launch_Priority_Matrix" sheetId="17" r:id="rId14"/>
    <sheet name="15_GTM_Recommendation" sheetId="18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8" l="1"/>
  <c r="C6" i="18"/>
  <c r="C4" i="18"/>
  <c r="C3" i="18"/>
  <c r="C2" i="18"/>
  <c r="C8" i="18"/>
  <c r="C7" i="18"/>
  <c r="B30" i="14"/>
  <c r="B25" i="14"/>
  <c r="D17" i="14"/>
  <c r="D18" i="14"/>
  <c r="D19" i="14"/>
  <c r="D20" i="14"/>
  <c r="D16" i="14"/>
  <c r="D10" i="14"/>
  <c r="D11" i="14"/>
  <c r="D12" i="14"/>
  <c r="D13" i="14"/>
  <c r="D9" i="14"/>
  <c r="D3" i="14"/>
  <c r="D4" i="14"/>
  <c r="D5" i="14"/>
  <c r="D6" i="14"/>
  <c r="D2" i="14"/>
  <c r="B19" i="12"/>
  <c r="B17" i="12"/>
  <c r="B15" i="12"/>
  <c r="B14" i="12"/>
  <c r="B13" i="12"/>
  <c r="B3" i="12"/>
  <c r="C23" i="12" s="1"/>
  <c r="C27" i="12" l="1"/>
  <c r="C25" i="12"/>
  <c r="C26" i="12"/>
  <c r="C24" i="12"/>
</calcChain>
</file>

<file path=xl/sharedStrings.xml><?xml version="1.0" encoding="utf-8"?>
<sst xmlns="http://schemas.openxmlformats.org/spreadsheetml/2006/main" count="226" uniqueCount="171">
  <si>
    <t>Uttar Pradesh</t>
  </si>
  <si>
    <t>Bihar</t>
  </si>
  <si>
    <t>Maharashtra</t>
  </si>
  <si>
    <t>West Bengal</t>
  </si>
  <si>
    <t>Madhya Pradesh</t>
  </si>
  <si>
    <t>Rajasthan</t>
  </si>
  <si>
    <t>Tamil Nadu</t>
  </si>
  <si>
    <t>Gujarat</t>
  </si>
  <si>
    <t>Karnataka</t>
  </si>
  <si>
    <t>Andhra Pradesh</t>
  </si>
  <si>
    <t>State</t>
  </si>
  <si>
    <t>Population_M</t>
  </si>
  <si>
    <t>Month</t>
  </si>
  <si>
    <t>No. of Banks live on UPI</t>
  </si>
  <si>
    <t>Volume (In Mn.)</t>
  </si>
  <si>
    <t>Value (In Cr.)</t>
  </si>
  <si>
    <t>April-2026</t>
  </si>
  <si>
    <t>29,029,88.05</t>
  </si>
  <si>
    <t>Competitor</t>
  </si>
  <si>
    <t>Type</t>
  </si>
  <si>
    <t>Users_M</t>
  </si>
  <si>
    <t>Merchants</t>
  </si>
  <si>
    <t>Strength</t>
  </si>
  <si>
    <t>Simpl</t>
  </si>
  <si>
    <t>BNPL</t>
  </si>
  <si>
    <t>Checkout UX</t>
  </si>
  <si>
    <t>LazyPay</t>
  </si>
  <si>
    <t>Consumer Credit</t>
  </si>
  <si>
    <t>ZestMoney</t>
  </si>
  <si>
    <t>EMI Financing</t>
  </si>
  <si>
    <t>Amazon Pay Later</t>
  </si>
  <si>
    <t>Ecosystem</t>
  </si>
  <si>
    <t>Flipkart Pay Later</t>
  </si>
  <si>
    <t>Marketplace</t>
  </si>
  <si>
    <t>Bajaj Finance</t>
  </si>
  <si>
    <t>EMI</t>
  </si>
  <si>
    <t>Scale</t>
  </si>
  <si>
    <t>Metric</t>
  </si>
  <si>
    <t>Value</t>
  </si>
  <si>
    <t>India Digital Lending Market ($B)</t>
  </si>
  <si>
    <t>BNPL Share %</t>
  </si>
  <si>
    <t>BNPL TAM ($B)</t>
  </si>
  <si>
    <t>CAGR %</t>
  </si>
  <si>
    <t>2025 TAM ($B)</t>
  </si>
  <si>
    <t>2026 TAM ($B)</t>
  </si>
  <si>
    <t>2027 TAM ($B)</t>
  </si>
  <si>
    <t>Segment</t>
  </si>
  <si>
    <t>Age</t>
  </si>
  <si>
    <t>Income</t>
  </si>
  <si>
    <t>Priority</t>
  </si>
  <si>
    <t>Students</t>
  </si>
  <si>
    <t>18-24</t>
  </si>
  <si>
    <t>&lt;25k</t>
  </si>
  <si>
    <t>Medium</t>
  </si>
  <si>
    <t>Young Professionals</t>
  </si>
  <si>
    <t>22-35</t>
  </si>
  <si>
    <t>25k-80k</t>
  </si>
  <si>
    <t>High</t>
  </si>
  <si>
    <t>Salaried Millennials</t>
  </si>
  <si>
    <t>25-40</t>
  </si>
  <si>
    <t>40k-120k</t>
  </si>
  <si>
    <t>Gig Workers</t>
  </si>
  <si>
    <t>20-40</t>
  </si>
  <si>
    <t>Variable</t>
  </si>
  <si>
    <t>New-to-Credit Users</t>
  </si>
  <si>
    <t>18-35</t>
  </si>
  <si>
    <t>Any</t>
  </si>
  <si>
    <t>Very High</t>
  </si>
  <si>
    <t>Electronics</t>
  </si>
  <si>
    <t>Fashion</t>
  </si>
  <si>
    <t>Travel</t>
  </si>
  <si>
    <t>Healthcare</t>
  </si>
  <si>
    <t>Grocery</t>
  </si>
  <si>
    <t>Food Delivery</t>
  </si>
  <si>
    <t>Education</t>
  </si>
  <si>
    <t>Avg Transaction ₹</t>
  </si>
  <si>
    <t>Transactions/User/Year</t>
  </si>
  <si>
    <t>MDR %</t>
  </si>
  <si>
    <t>Revenue/User/Year ₹</t>
  </si>
  <si>
    <t>CAC ₹</t>
  </si>
  <si>
    <t>Gross Margin %</t>
  </si>
  <si>
    <t>Default Rate %</t>
  </si>
  <si>
    <t>Contribution Margin ₹</t>
  </si>
  <si>
    <t>Regulation Area</t>
  </si>
  <si>
    <t>Status</t>
  </si>
  <si>
    <t>Digital Lending Guidelines</t>
  </si>
  <si>
    <t>Applicable</t>
  </si>
  <si>
    <t>KFS Required</t>
  </si>
  <si>
    <t>Yes</t>
  </si>
  <si>
    <t>APR Disclosure</t>
  </si>
  <si>
    <t>Mandatory</t>
  </si>
  <si>
    <t>Cooling Off Period</t>
  </si>
  <si>
    <t>Direct Borrower-Lender Flow</t>
  </si>
  <si>
    <t>Required</t>
  </si>
  <si>
    <t>LSP Fund Handling</t>
  </si>
  <si>
    <t>Not Allowed</t>
  </si>
  <si>
    <t>Recovery Agent Disclosure</t>
  </si>
  <si>
    <t>Grievance Officer</t>
  </si>
  <si>
    <t>Data Privacy Compliance</t>
  </si>
  <si>
    <t>RBI Regulated Entity Needed</t>
  </si>
  <si>
    <t>Risk</t>
  </si>
  <si>
    <t>Impact</t>
  </si>
  <si>
    <t>Mitigation</t>
  </si>
  <si>
    <t>Credit Default</t>
  </si>
  <si>
    <t>Credit Scoring</t>
  </si>
  <si>
    <t>Fraud</t>
  </si>
  <si>
    <t>KYC + Device Checks</t>
  </si>
  <si>
    <t>RBI Regulation</t>
  </si>
  <si>
    <t>Compliance Team</t>
  </si>
  <si>
    <t>Merchant Churn</t>
  </si>
  <si>
    <t>Better Incentives</t>
  </si>
  <si>
    <t>Customer Acquisition Cost</t>
  </si>
  <si>
    <t>Referral Programs</t>
  </si>
  <si>
    <t>Data Breach</t>
  </si>
  <si>
    <t>Encryption</t>
  </si>
  <si>
    <t>Economic Slowdown</t>
  </si>
  <si>
    <t>Conservative Lending</t>
  </si>
  <si>
    <t>Source</t>
  </si>
  <si>
    <t>India Population (2025)</t>
  </si>
  <si>
    <t>1429.4 M</t>
  </si>
  <si>
    <t>Statistics Times / Population Estimate</t>
  </si>
  <si>
    <t>Urban Population %</t>
  </si>
  <si>
    <t>World Bank</t>
  </si>
  <si>
    <t>Internet Users %</t>
  </si>
  <si>
    <t>World Bank / DataReportal</t>
  </si>
  <si>
    <t>Smartphone Users %</t>
  </si>
  <si>
    <t>Industry Reports</t>
  </si>
  <si>
    <t>Target Age Group (22–38) %</t>
  </si>
  <si>
    <t>Census-Based Estimate</t>
  </si>
  <si>
    <t>BNPL Share (%)</t>
  </si>
  <si>
    <t>CAGR (%)</t>
  </si>
  <si>
    <t>Urban Population (M)</t>
  </si>
  <si>
    <t>Addressable Customers (M)</t>
  </si>
  <si>
    <t>Revenue/User (₹)</t>
  </si>
  <si>
    <t>Bottom-Up TAM (₹ Cr)</t>
  </si>
  <si>
    <t>Year</t>
  </si>
  <si>
    <t>SOM Share</t>
  </si>
  <si>
    <t>Revenue ($M)</t>
  </si>
  <si>
    <t>Customers (M)</t>
  </si>
  <si>
    <t>2024 TAM ($B)</t>
  </si>
  <si>
    <t>$45.0B</t>
  </si>
  <si>
    <t>TAM ($B)</t>
  </si>
  <si>
    <t xml:space="preserve">Income Match </t>
  </si>
  <si>
    <t xml:space="preserve">Smartphone Users </t>
  </si>
  <si>
    <t xml:space="preserve">Target Age Group </t>
  </si>
  <si>
    <t>Year 5 SOM Revenue ($B)</t>
  </si>
  <si>
    <t>Users</t>
  </si>
  <si>
    <t>Revenue/User</t>
  </si>
  <si>
    <t>Revenue Cr</t>
  </si>
  <si>
    <t>Acquisition Cost Cr</t>
  </si>
  <si>
    <t>Contribution/User</t>
  </si>
  <si>
    <t>Contribution Cr</t>
  </si>
  <si>
    <t>Fixed Cost (₹ Cr)</t>
  </si>
  <si>
    <t>Contribution/User (₹)</t>
  </si>
  <si>
    <t>Breakeven Users</t>
  </si>
  <si>
    <t>Year 3 Users</t>
  </si>
  <si>
    <t>Year 5 Users</t>
  </si>
  <si>
    <t>Year 5 Revenue (Cr)</t>
  </si>
  <si>
    <t>Year 5 Contribution (Cr)</t>
  </si>
  <si>
    <t>Breakeven Year</t>
  </si>
  <si>
    <t>Year 3</t>
  </si>
  <si>
    <t>CAGR</t>
  </si>
  <si>
    <t>Top State</t>
  </si>
  <si>
    <t>Market Leader</t>
  </si>
  <si>
    <t>Competitor Users</t>
  </si>
  <si>
    <t>154M</t>
  </si>
  <si>
    <t>Contribution Margin</t>
  </si>
  <si>
    <t>Year 5 Revenue</t>
  </si>
  <si>
    <t>₹175 Cr</t>
  </si>
  <si>
    <t>Recommendation</t>
  </si>
  <si>
    <t>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</si>
</sst>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#,##0_);[Red]\(&quot;₹&quot;#,##0\)"/>
    <numFmt numFmtId="164" formatCode="0.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16" fillId="0" borderId="0" xfId="0" applyFon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2" fontId="0" fillId="0" borderId="0" xfId="0" applyNumberFormat="1"/>
    <xf numFmtId="9" fontId="0" fillId="0" borderId="0" xfId="1" applyFont="1"/>
    <xf numFmtId="0" fontId="16" fillId="0" borderId="0" xfId="0" applyFont="1" applyAlignment="1">
      <alignment horizontal="right"/>
    </xf>
    <xf numFmtId="164" fontId="16" fillId="0" borderId="0" xfId="0" applyNumberFormat="1" applyFont="1"/>
    <xf numFmtId="0" fontId="0" fillId="0" borderId="0" xfId="0" applyAlignment="1">
      <alignment horizontal="right"/>
    </xf>
    <xf numFmtId="6" fontId="0" fillId="0" borderId="0" xfId="0" applyNumberFormat="1"/>
    <xf numFmtId="0" fontId="18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India BNPL Market Growth (2024–2027)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'11_Market_Sizing'!$A$6:$A$9</c:f>
              <c:strCache>
                <c:ptCount val="4"/>
                <c:pt idx="0">
                  <c:v>2024 TAM ($B)</c:v>
                </c:pt>
                <c:pt idx="1">
                  <c:v>2025 TAM ($B)</c:v>
                </c:pt>
                <c:pt idx="2">
                  <c:v>2026 TAM ($B)</c:v>
                </c:pt>
                <c:pt idx="3">
                  <c:v>2027 TAM ($B)</c:v>
                </c:pt>
              </c:strCache>
            </c:strRef>
          </c:cat>
          <c:val>
            <c:numRef>
              <c:f>'11_Market_Sizing'!$B$6:$B$9</c:f>
              <c:numCache>
                <c:formatCode>General</c:formatCode>
                <c:ptCount val="4"/>
                <c:pt idx="0">
                  <c:v>8.1</c:v>
                </c:pt>
                <c:pt idx="1">
                  <c:v>10.37</c:v>
                </c:pt>
                <c:pt idx="2">
                  <c:v>13.27</c:v>
                </c:pt>
                <c:pt idx="3">
                  <c:v>16.989999999999998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0-6340-B622-94596D1EE6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29620031"/>
        <c:axId val="628385407"/>
      </c:lineChart>
      <c:catAx>
        <c:axId val="62962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85407"/>
        <c:crosses val="autoZero"/>
        <c:auto val="1"/>
        <c:lblAlgn val="ctr"/>
        <c:lblOffset val="100"/>
        <c:noMultiLvlLbl val="0"/>
      </c:catAx>
      <c:valAx>
        <c:axId val="6283854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962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BNPL Customer Funnel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'11_Market_Sizing'!$A$12:$A$15</c:f>
              <c:strCache>
                <c:ptCount val="4"/>
                <c:pt idx="0">
                  <c:v>Urban Population (M)</c:v>
                </c:pt>
                <c:pt idx="1">
                  <c:v>Target Age Group </c:v>
                </c:pt>
                <c:pt idx="2">
                  <c:v>Smartphone Users </c:v>
                </c:pt>
                <c:pt idx="3">
                  <c:v>Income Match </c:v>
                </c:pt>
              </c:strCache>
            </c:strRef>
          </c:cat>
          <c:val>
            <c:numRef>
              <c:f>'11_Market_Sizing'!$B$12:$B$15</c:f>
              <c:numCache>
                <c:formatCode>General</c:formatCode>
                <c:ptCount val="4"/>
                <c:pt idx="0">
                  <c:v>514</c:v>
                </c:pt>
                <c:pt idx="1">
                  <c:v>154.19999999999999</c:v>
                </c:pt>
                <c:pt idx="2">
                  <c:v>115.64999999999999</c:v>
                </c:pt>
                <c:pt idx="3">
                  <c:v>46.26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8-674C-AFE0-1872E206E2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65129408"/>
        <c:axId val="1523097471"/>
      </c:barChart>
      <c:catAx>
        <c:axId val="18651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97471"/>
        <c:crosses val="autoZero"/>
        <c:auto val="1"/>
        <c:lblAlgn val="ctr"/>
        <c:lblOffset val="100"/>
        <c:noMultiLvlLbl val="0"/>
      </c:catAx>
      <c:valAx>
        <c:axId val="152309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12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5-Year SOM Revenue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'11_Market_Sizing'!$A$22</c:f>
              <c:strCache>
                <c:ptCount val="1"/>
                <c:pt idx="0">
                  <c:v>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'11_Market_Sizing'!$A$23:$A$27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C-1442-A404-D030F0824BDB}"/>
            </c:ext>
          </c:extLst>
        </c:ser>
        <c:ser>
          <c:idx val="1"/>
          <c:order val="1"/>
          <c:tx>
            <c:strRef>
              <c:f>'11_Market_Sizing'!$C$22</c:f>
              <c:strCache>
                <c:ptCount val="1"/>
                <c:pt idx="0">
                  <c:v>Revenue ($M)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'11_Market_Sizing'!$C$23:$C$27</c:f>
              <c:numCache>
                <c:formatCode>General</c:formatCode>
                <c:ptCount val="5"/>
                <c:pt idx="0">
                  <c:v>40.5</c:v>
                </c:pt>
                <c:pt idx="1">
                  <c:v>121.5</c:v>
                </c:pt>
                <c:pt idx="2">
                  <c:v>324</c:v>
                </c:pt>
                <c:pt idx="3">
                  <c:v>648</c:v>
                </c:pt>
                <c:pt idx="4">
                  <c:v>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AC-1442-A404-D030F0824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31504255"/>
        <c:axId val="1531506047"/>
      </c:barChart>
      <c:catAx>
        <c:axId val="1531504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06047"/>
        <c:crosses val="autoZero"/>
        <c:auto val="1"/>
        <c:lblAlgn val="ctr"/>
        <c:lblOffset val="100"/>
        <c:noMultiLvlLbl val="0"/>
      </c:catAx>
      <c:valAx>
        <c:axId val="153150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0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BNPL Revenue Growth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'12_Financial_Model'!$D$1</c:f>
              <c:strCache>
                <c:ptCount val="1"/>
                <c:pt idx="0">
                  <c:v>Revenue Cr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year</c:v>
              </c:pt>
            </c:strLit>
          </c:cat>
          <c:val>
            <c:numRef>
              <c:f>'12_Financial_Model'!$D$2:$D$6</c:f>
              <c:numCache>
                <c:formatCode>General</c:formatCode>
                <c:ptCount val="5"/>
                <c:pt idx="0">
                  <c:v>7</c:v>
                </c:pt>
                <c:pt idx="1">
                  <c:v>21</c:v>
                </c:pt>
                <c:pt idx="2">
                  <c:v>56</c:v>
                </c:pt>
                <c:pt idx="3">
                  <c:v>105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1-CC45-BF3B-39242DAEA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6035135"/>
        <c:axId val="1523053695"/>
      </c:barChart>
      <c:catAx>
        <c:axId val="152603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53695"/>
        <c:crosses val="autoZero"/>
        <c:auto val="1"/>
        <c:lblAlgn val="ctr"/>
        <c:lblOffset val="100"/>
        <c:noMultiLvlLbl val="0"/>
      </c:catAx>
      <c:valAx>
        <c:axId val="152305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03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BNPL User Growth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'12_Financial_Model'!$A$8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'12_Financial_Model'!$A$9:$A$13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E-244B-82DF-FA443A95F094}"/>
            </c:ext>
          </c:extLst>
        </c:ser>
        <c:ser>
          <c:idx val="1"/>
          <c:order val="1"/>
          <c:tx>
            <c:strRef>
              <c:f>'12_Financial_Model'!$B$8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'12_Financial_Model'!$B$9:$B$13</c:f>
              <c:numCache>
                <c:formatCode>General</c:formatCode>
                <c:ptCount val="5"/>
                <c:pt idx="0">
                  <c:v>100000</c:v>
                </c:pt>
                <c:pt idx="1">
                  <c:v>300000</c:v>
                </c:pt>
                <c:pt idx="2">
                  <c:v>800000</c:v>
                </c:pt>
                <c:pt idx="3">
                  <c:v>1500000</c:v>
                </c:pt>
                <c:pt idx="4">
                  <c:v>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8E-244B-82DF-FA443A95F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709823"/>
        <c:axId val="1529886271"/>
      </c:barChart>
      <c:catAx>
        <c:axId val="629709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886271"/>
        <c:crosses val="autoZero"/>
        <c:auto val="1"/>
        <c:lblAlgn val="ctr"/>
        <c:lblOffset val="100"/>
        <c:noMultiLvlLbl val="0"/>
      </c:catAx>
      <c:valAx>
        <c:axId val="152988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0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Acquisition Cost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'12_Financial_Model'!$C$8</c:f>
              <c:strCache>
                <c:ptCount val="1"/>
                <c:pt idx="0">
                  <c:v>CAC 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year</c:v>
              </c:pt>
            </c:strLit>
          </c:cat>
          <c:val>
            <c:numRef>
              <c:f>'12_Financial_Model'!$C$9:$C$13</c:f>
              <c:numCache>
                <c:formatCode>General</c:formatCode>
                <c:ptCount val="5"/>
                <c:pt idx="0">
                  <c:v>400</c:v>
                </c:pt>
                <c:pt idx="1">
                  <c:v>350</c:v>
                </c:pt>
                <c:pt idx="2">
                  <c:v>300</c:v>
                </c:pt>
                <c:pt idx="3">
                  <c:v>275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A4-7147-BF88-0D86C6AC0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9887615"/>
        <c:axId val="628336703"/>
      </c:barChart>
      <c:catAx>
        <c:axId val="152988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36703"/>
        <c:crosses val="autoZero"/>
        <c:auto val="1"/>
        <c:lblAlgn val="ctr"/>
        <c:lblOffset val="100"/>
        <c:noMultiLvlLbl val="0"/>
      </c:catAx>
      <c:valAx>
        <c:axId val="62833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88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Contribution Profit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'12_Financial_Model'!$D$15</c:f>
              <c:strCache>
                <c:ptCount val="1"/>
                <c:pt idx="0">
                  <c:v>Contribution Cr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year</c:v>
              </c:pt>
            </c:strLit>
          </c:cat>
          <c:val>
            <c:numRef>
              <c:f>'12_Financial_Model'!$D$16:$D$20</c:f>
              <c:numCache>
                <c:formatCode>General</c:formatCode>
                <c:ptCount val="5"/>
                <c:pt idx="0">
                  <c:v>2.5499999999999998</c:v>
                </c:pt>
                <c:pt idx="1">
                  <c:v>7.65</c:v>
                </c:pt>
                <c:pt idx="2">
                  <c:v>20.399999999999999</c:v>
                </c:pt>
                <c:pt idx="3">
                  <c:v>38.25</c:v>
                </c:pt>
                <c:pt idx="4">
                  <c:v>63.75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7-C743-A014-7B584C245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31561279"/>
        <c:axId val="627621183"/>
      </c:barChart>
      <c:catAx>
        <c:axId val="1531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621183"/>
        <c:crosses val="autoZero"/>
        <c:auto val="1"/>
        <c:lblAlgn val="ctr"/>
        <c:lblOffset val="100"/>
        <c:noMultiLvlLbl val="0"/>
      </c:catAx>
      <c:valAx>
        <c:axId val="62762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6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104870</xdr:colOff>
      <xdr:row>0</xdr:row>
      <xdr:rowOff>42718</xdr:rowOff>
    </xdr:from>
    <xdr:to>
      <xdr:col>6</xdr:col>
      <xdr:colOff>442576</xdr:colOff>
      <xdr:row>10</xdr:row>
      <xdr:rowOff>163561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9AACC8-5F49-9C1A-3D19-B53A75CE1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585932</xdr:colOff>
      <xdr:row>10</xdr:row>
      <xdr:rowOff>153939</xdr:rowOff>
    </xdr:from>
    <xdr:to>
      <xdr:col>7</xdr:col>
      <xdr:colOff>432955</xdr:colOff>
      <xdr:row>22</xdr:row>
      <xdr:rowOff>140085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ADDDEF-AE02-DBAE-177A-6BA1E42A3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340591</xdr:colOff>
      <xdr:row>0</xdr:row>
      <xdr:rowOff>0</xdr:rowOff>
    </xdr:from>
    <xdr:to>
      <xdr:col>12</xdr:col>
      <xdr:colOff>28864</xdr:colOff>
      <xdr:row>12</xdr:row>
      <xdr:rowOff>144318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B62565-8498-C139-582B-9B9DE65B1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679450</xdr:colOff>
      <xdr:row>0</xdr:row>
      <xdr:rowOff>57150</xdr:rowOff>
    </xdr:from>
    <xdr:to>
      <xdr:col>10</xdr:col>
      <xdr:colOff>298450</xdr:colOff>
      <xdr:row>13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3B100-6E18-7B28-66DE-065C4F38A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666750</xdr:colOff>
      <xdr:row>13</xdr:row>
      <xdr:rowOff>196850</xdr:rowOff>
    </xdr:from>
    <xdr:to>
      <xdr:col>10</xdr:col>
      <xdr:colOff>285750</xdr:colOff>
      <xdr:row>27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AC5DA8-138D-E365-29FC-CDC873A0B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387350</xdr:colOff>
      <xdr:row>0</xdr:row>
      <xdr:rowOff>69850</xdr:rowOff>
    </xdr:from>
    <xdr:to>
      <xdr:col>16</xdr:col>
      <xdr:colOff>6350</xdr:colOff>
      <xdr:row>13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218D7E-3497-B9CC-3EAD-4C2674320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374650</xdr:colOff>
      <xdr:row>13</xdr:row>
      <xdr:rowOff>196850</xdr:rowOff>
    </xdr:from>
    <xdr:to>
      <xdr:col>15</xdr:col>
      <xdr:colOff>819150</xdr:colOff>
      <xdr:row>27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85741E-8626-50D0-75BA-D3B318AFE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59D8-7E6D-904B-B984-F4A2582263C7}">
  <dimension ref="A1:B11"/>
  <sheetViews>
    <sheetView workbookViewId="0">
      <selection activeCell="D8" sqref="D8"/>
    </sheetView>
  </sheetViews>
  <sheetFormatPr baseColWidth="10" defaultRowHeight="16" x14ac:dyDescent="0.2"/>
  <cols>
    <col min="1" max="1" width="25.1640625" bestFit="1" customWidth="1"/>
    <col min="2" max="2" width="11.33203125" bestFit="1" customWidth="1"/>
  </cols>
  <sheetData>
    <row r="1" spans="1:2" x14ac:dyDescent="0.2">
      <c r="A1" s="2" t="s">
        <v>83</v>
      </c>
      <c r="B1" s="2" t="s">
        <v>84</v>
      </c>
    </row>
    <row r="2" spans="1:2" x14ac:dyDescent="0.2">
      <c r="A2" t="s">
        <v>85</v>
      </c>
      <c r="B2" t="s">
        <v>86</v>
      </c>
    </row>
    <row r="3" spans="1:2" x14ac:dyDescent="0.2">
      <c r="A3" t="s">
        <v>87</v>
      </c>
      <c r="B3" t="s">
        <v>88</v>
      </c>
    </row>
    <row r="4" spans="1:2" x14ac:dyDescent="0.2">
      <c r="A4" t="s">
        <v>89</v>
      </c>
      <c r="B4" t="s">
        <v>90</v>
      </c>
    </row>
    <row r="5" spans="1:2" x14ac:dyDescent="0.2">
      <c r="A5" t="s">
        <v>91</v>
      </c>
      <c r="B5" t="s">
        <v>90</v>
      </c>
    </row>
    <row r="6" spans="1:2" x14ac:dyDescent="0.2">
      <c r="A6" t="s">
        <v>92</v>
      </c>
      <c r="B6" t="s">
        <v>93</v>
      </c>
    </row>
    <row r="7" spans="1:2" x14ac:dyDescent="0.2">
      <c r="A7" t="s">
        <v>94</v>
      </c>
      <c r="B7" t="s">
        <v>95</v>
      </c>
    </row>
    <row r="8" spans="1:2" x14ac:dyDescent="0.2">
      <c r="A8" t="s">
        <v>96</v>
      </c>
      <c r="B8" t="s">
        <v>93</v>
      </c>
    </row>
    <row r="9" spans="1:2" x14ac:dyDescent="0.2">
      <c r="A9" t="s">
        <v>97</v>
      </c>
      <c r="B9" t="s">
        <v>93</v>
      </c>
    </row>
    <row r="10" spans="1:2" x14ac:dyDescent="0.2">
      <c r="A10" t="s">
        <v>98</v>
      </c>
      <c r="B10" t="s">
        <v>93</v>
      </c>
    </row>
    <row r="11" spans="1:2" x14ac:dyDescent="0.2">
      <c r="A11" t="s">
        <v>99</v>
      </c>
      <c r="B1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3F51-D0F7-CA40-BF52-B72DCC9D6A99}">
  <dimension ref="A1:D2"/>
  <sheetViews>
    <sheetView workbookViewId="0">
      <selection sqref="A1:XFD1048576"/>
    </sheetView>
  </sheetViews>
  <sheetFormatPr baseColWidth="10" defaultRowHeight="16" x14ac:dyDescent="0.2"/>
  <cols>
    <col min="1" max="1" width="9.6640625" bestFit="1" customWidth="1"/>
    <col min="2" max="2" width="20.83203125" bestFit="1" customWidth="1"/>
    <col min="3" max="3" width="14.5" bestFit="1" customWidth="1"/>
    <col min="4" max="4" width="11.83203125" bestFit="1" customWidth="1"/>
  </cols>
  <sheetData>
    <row r="1" spans="1:4" x14ac:dyDescent="0.2">
      <c r="A1" t="s">
        <v>12</v>
      </c>
      <c r="B1" t="s">
        <v>13</v>
      </c>
      <c r="C1" t="s">
        <v>14</v>
      </c>
      <c r="D1" t="s">
        <v>15</v>
      </c>
    </row>
    <row r="2" spans="1:4" x14ac:dyDescent="0.2">
      <c r="A2" t="s">
        <v>16</v>
      </c>
      <c r="B2">
        <v>713</v>
      </c>
      <c r="C2" s="3">
        <v>22346.799999999999</v>
      </c>
      <c r="D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F6D4-6297-8045-90CF-12FAA4024D34}">
  <dimension ref="A1:BI1481"/>
  <sheetViews>
    <sheetView zoomScale="150" workbookViewId="0">
      <selection activeCell="D8" sqref="D8"/>
    </sheetView>
  </sheetViews>
  <sheetFormatPr baseColWidth="10" defaultRowHeight="16" x14ac:dyDescent="0.2"/>
  <cols>
    <col min="1" max="1" width="24.5" bestFit="1" customWidth="1"/>
    <col min="2" max="2" width="8.83203125" bestFit="1" customWidth="1"/>
    <col min="3" max="3" width="33.1640625" bestFit="1" customWidth="1"/>
    <col min="4" max="4" width="27.1640625" bestFit="1" customWidth="1"/>
    <col min="5" max="6" width="14" customWidth="1"/>
    <col min="7" max="7" width="14" bestFit="1" customWidth="1"/>
  </cols>
  <sheetData>
    <row r="1" spans="1:3" x14ac:dyDescent="0.2">
      <c r="A1" s="2" t="s">
        <v>37</v>
      </c>
      <c r="B1" s="2" t="s">
        <v>38</v>
      </c>
      <c r="C1" s="2" t="s">
        <v>117</v>
      </c>
    </row>
    <row r="2" spans="1:3" x14ac:dyDescent="0.2">
      <c r="A2" t="s">
        <v>118</v>
      </c>
      <c r="B2" t="s">
        <v>119</v>
      </c>
      <c r="C2" t="s">
        <v>120</v>
      </c>
    </row>
    <row r="3" spans="1:3" x14ac:dyDescent="0.2">
      <c r="A3" t="s">
        <v>121</v>
      </c>
      <c r="B3" s="4">
        <v>0.36</v>
      </c>
      <c r="C3" t="s">
        <v>122</v>
      </c>
    </row>
    <row r="4" spans="1:3" x14ac:dyDescent="0.2">
      <c r="A4" t="s">
        <v>123</v>
      </c>
      <c r="B4" s="4">
        <v>0.55000000000000004</v>
      </c>
      <c r="C4" t="s">
        <v>124</v>
      </c>
    </row>
    <row r="5" spans="1:3" x14ac:dyDescent="0.2">
      <c r="A5" t="s">
        <v>125</v>
      </c>
      <c r="B5" s="4">
        <v>0.75</v>
      </c>
      <c r="C5" t="s">
        <v>126</v>
      </c>
    </row>
    <row r="6" spans="1:3" x14ac:dyDescent="0.2">
      <c r="A6" t="s">
        <v>127</v>
      </c>
      <c r="B6" s="4">
        <v>0.3</v>
      </c>
      <c r="C6" t="s">
        <v>128</v>
      </c>
    </row>
    <row r="163" spans="5:9" x14ac:dyDescent="0.2">
      <c r="E163" s="1"/>
      <c r="I163" s="1"/>
    </row>
    <row r="1481" spans="61:61" x14ac:dyDescent="0.2">
      <c r="BI1481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BA26-FF2B-8A44-936A-BE8DDC496124}">
  <dimension ref="A1:B11"/>
  <sheetViews>
    <sheetView workbookViewId="0">
      <selection activeCell="G2" sqref="G2"/>
    </sheetView>
  </sheetViews>
  <sheetFormatPr baseColWidth="10" defaultRowHeight="16" x14ac:dyDescent="0.2"/>
  <cols>
    <col min="1" max="1" width="14.6640625" bestFit="1" customWidth="1"/>
    <col min="2" max="2" width="12.5" bestFit="1" customWidth="1"/>
  </cols>
  <sheetData>
    <row r="1" spans="1:2" x14ac:dyDescent="0.2">
      <c r="A1" s="2" t="s">
        <v>10</v>
      </c>
      <c r="B1" s="2" t="s">
        <v>11</v>
      </c>
    </row>
    <row r="2" spans="1:2" x14ac:dyDescent="0.2">
      <c r="A2" t="s">
        <v>0</v>
      </c>
      <c r="B2">
        <v>243.5</v>
      </c>
    </row>
    <row r="3" spans="1:2" x14ac:dyDescent="0.2">
      <c r="A3" t="s">
        <v>1</v>
      </c>
      <c r="B3">
        <v>132.9</v>
      </c>
    </row>
    <row r="4" spans="1:2" x14ac:dyDescent="0.2">
      <c r="A4" t="s">
        <v>2</v>
      </c>
      <c r="B4">
        <v>129.6</v>
      </c>
    </row>
    <row r="5" spans="1:2" x14ac:dyDescent="0.2">
      <c r="A5" t="s">
        <v>3</v>
      </c>
      <c r="B5">
        <v>100.6</v>
      </c>
    </row>
    <row r="6" spans="1:2" x14ac:dyDescent="0.2">
      <c r="A6" t="s">
        <v>4</v>
      </c>
      <c r="B6">
        <v>90</v>
      </c>
    </row>
    <row r="7" spans="1:2" x14ac:dyDescent="0.2">
      <c r="A7" t="s">
        <v>5</v>
      </c>
      <c r="B7">
        <v>83.9</v>
      </c>
    </row>
    <row r="8" spans="1:2" x14ac:dyDescent="0.2">
      <c r="A8" t="s">
        <v>6</v>
      </c>
      <c r="B8">
        <v>77.599999999999994</v>
      </c>
    </row>
    <row r="9" spans="1:2" x14ac:dyDescent="0.2">
      <c r="A9" t="s">
        <v>7</v>
      </c>
      <c r="B9">
        <v>74.3</v>
      </c>
    </row>
    <row r="10" spans="1:2" x14ac:dyDescent="0.2">
      <c r="A10" t="s">
        <v>8</v>
      </c>
      <c r="B10">
        <v>69.099999999999994</v>
      </c>
    </row>
    <row r="11" spans="1:2" x14ac:dyDescent="0.2">
      <c r="A11" t="s">
        <v>9</v>
      </c>
      <c r="B11">
        <v>53.7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E156-255E-6045-B1B7-35CAA2811071}">
  <dimension ref="A1:E7"/>
  <sheetViews>
    <sheetView tabSelected="1" workbookViewId="0">
      <selection activeCell="D5" sqref="D5"/>
    </sheetView>
  </sheetViews>
  <sheetFormatPr baseColWidth="10" defaultRowHeight="16" x14ac:dyDescent="0.2"/>
  <cols>
    <col min="1" max="1" width="15.83203125" bestFit="1" customWidth="1"/>
    <col min="2" max="2" width="5.5" bestFit="1" customWidth="1"/>
    <col min="3" max="3" width="8.5" bestFit="1" customWidth="1"/>
    <col min="4" max="4" width="9.83203125" bestFit="1" customWidth="1"/>
    <col min="5" max="5" width="14.6640625" bestFit="1" customWidth="1"/>
  </cols>
  <sheetData>
    <row r="1" spans="1:5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</row>
    <row r="2" spans="1:5" x14ac:dyDescent="0.2">
      <c r="A2" t="s">
        <v>23</v>
      </c>
      <c r="B2" t="s">
        <v>24</v>
      </c>
      <c r="C2">
        <v>12</v>
      </c>
      <c r="D2">
        <v>26000</v>
      </c>
      <c r="E2" t="s">
        <v>25</v>
      </c>
    </row>
    <row r="3" spans="1:5" x14ac:dyDescent="0.2">
      <c r="A3" t="s">
        <v>26</v>
      </c>
      <c r="B3" t="s">
        <v>24</v>
      </c>
      <c r="C3">
        <v>10</v>
      </c>
      <c r="D3">
        <v>20000</v>
      </c>
      <c r="E3" t="s">
        <v>27</v>
      </c>
    </row>
    <row r="4" spans="1:5" x14ac:dyDescent="0.2">
      <c r="A4" t="s">
        <v>28</v>
      </c>
      <c r="B4" t="s">
        <v>24</v>
      </c>
      <c r="C4">
        <v>17</v>
      </c>
      <c r="D4">
        <v>10000</v>
      </c>
      <c r="E4" t="s">
        <v>29</v>
      </c>
    </row>
    <row r="5" spans="1:5" x14ac:dyDescent="0.2">
      <c r="A5" t="s">
        <v>30</v>
      </c>
      <c r="B5" t="s">
        <v>24</v>
      </c>
      <c r="C5">
        <v>20</v>
      </c>
      <c r="D5">
        <v>30000</v>
      </c>
      <c r="E5" t="s">
        <v>31</v>
      </c>
    </row>
    <row r="6" spans="1:5" x14ac:dyDescent="0.2">
      <c r="A6" t="s">
        <v>32</v>
      </c>
      <c r="B6" t="s">
        <v>24</v>
      </c>
      <c r="C6">
        <v>18</v>
      </c>
      <c r="D6">
        <v>50000</v>
      </c>
      <c r="E6" t="s">
        <v>33</v>
      </c>
    </row>
    <row r="7" spans="1:5" x14ac:dyDescent="0.2">
      <c r="A7" t="s">
        <v>34</v>
      </c>
      <c r="B7" t="s">
        <v>35</v>
      </c>
      <c r="C7">
        <v>88</v>
      </c>
      <c r="D7">
        <v>190000</v>
      </c>
      <c r="E7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BC74-147A-A04E-8A83-CE7F1A031BD5}">
  <dimension ref="A1:B8"/>
  <sheetViews>
    <sheetView workbookViewId="0">
      <selection activeCell="G20" sqref="G20"/>
    </sheetView>
  </sheetViews>
  <sheetFormatPr baseColWidth="10" defaultRowHeight="16" x14ac:dyDescent="0.2"/>
  <cols>
    <col min="1" max="1" width="28.6640625" bestFit="1" customWidth="1"/>
  </cols>
  <sheetData>
    <row r="1" spans="1:2" x14ac:dyDescent="0.2">
      <c r="A1" s="2" t="s">
        <v>37</v>
      </c>
      <c r="B1" s="2" t="s">
        <v>38</v>
      </c>
    </row>
    <row r="2" spans="1:2" x14ac:dyDescent="0.2">
      <c r="A2" t="s">
        <v>39</v>
      </c>
      <c r="B2">
        <v>45</v>
      </c>
    </row>
    <row r="3" spans="1:2" x14ac:dyDescent="0.2">
      <c r="A3" t="s">
        <v>40</v>
      </c>
      <c r="B3">
        <v>18</v>
      </c>
    </row>
    <row r="4" spans="1:2" x14ac:dyDescent="0.2">
      <c r="A4" t="s">
        <v>41</v>
      </c>
      <c r="B4">
        <v>8.1</v>
      </c>
    </row>
    <row r="5" spans="1:2" x14ac:dyDescent="0.2">
      <c r="A5" t="s">
        <v>42</v>
      </c>
      <c r="B5">
        <v>28</v>
      </c>
    </row>
    <row r="6" spans="1:2" x14ac:dyDescent="0.2">
      <c r="A6" t="s">
        <v>43</v>
      </c>
      <c r="B6">
        <v>10.4</v>
      </c>
    </row>
    <row r="7" spans="1:2" x14ac:dyDescent="0.2">
      <c r="A7" t="s">
        <v>44</v>
      </c>
      <c r="B7">
        <v>13.3</v>
      </c>
    </row>
    <row r="8" spans="1:2" x14ac:dyDescent="0.2">
      <c r="A8" t="s">
        <v>45</v>
      </c>
      <c r="B8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4CD7-7501-094E-A568-27CFDFAAC8C1}">
  <dimension ref="A1:D6"/>
  <sheetViews>
    <sheetView workbookViewId="0">
      <selection activeCell="E4" sqref="E4"/>
    </sheetView>
  </sheetViews>
  <sheetFormatPr baseColWidth="10" defaultRowHeight="16" x14ac:dyDescent="0.2"/>
  <cols>
    <col min="1" max="1" width="18.1640625" bestFit="1" customWidth="1"/>
    <col min="2" max="2" width="5.83203125" bestFit="1" customWidth="1"/>
    <col min="3" max="3" width="8.5" bestFit="1" customWidth="1"/>
    <col min="4" max="4" width="9" bestFit="1" customWidth="1"/>
  </cols>
  <sheetData>
    <row r="1" spans="1:4" x14ac:dyDescent="0.2">
      <c r="A1" s="2" t="s">
        <v>46</v>
      </c>
      <c r="B1" s="2" t="s">
        <v>47</v>
      </c>
      <c r="C1" s="2" t="s">
        <v>48</v>
      </c>
      <c r="D1" s="2" t="s">
        <v>49</v>
      </c>
    </row>
    <row r="2" spans="1:4" x14ac:dyDescent="0.2">
      <c r="A2" t="s">
        <v>50</v>
      </c>
      <c r="B2" t="s">
        <v>51</v>
      </c>
      <c r="C2" t="s">
        <v>52</v>
      </c>
      <c r="D2" t="s">
        <v>53</v>
      </c>
    </row>
    <row r="3" spans="1:4" x14ac:dyDescent="0.2">
      <c r="A3" t="s">
        <v>54</v>
      </c>
      <c r="B3" t="s">
        <v>55</v>
      </c>
      <c r="C3" t="s">
        <v>56</v>
      </c>
      <c r="D3" t="s">
        <v>57</v>
      </c>
    </row>
    <row r="4" spans="1:4" x14ac:dyDescent="0.2">
      <c r="A4" t="s">
        <v>58</v>
      </c>
      <c r="B4" t="s">
        <v>59</v>
      </c>
      <c r="C4" t="s">
        <v>60</v>
      </c>
      <c r="D4" t="s">
        <v>57</v>
      </c>
    </row>
    <row r="5" spans="1:4" x14ac:dyDescent="0.2">
      <c r="A5" t="s">
        <v>61</v>
      </c>
      <c r="B5" t="s">
        <v>62</v>
      </c>
      <c r="C5" t="s">
        <v>63</v>
      </c>
      <c r="D5" t="s">
        <v>53</v>
      </c>
    </row>
    <row r="6" spans="1:4" x14ac:dyDescent="0.2">
      <c r="A6" t="s">
        <v>64</v>
      </c>
      <c r="B6" t="s">
        <v>65</v>
      </c>
      <c r="C6" t="s">
        <v>66</v>
      </c>
      <c r="D6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0EEE-827C-D741-BD4A-43ED3933D5A2}">
  <dimension ref="A1:C8"/>
  <sheetViews>
    <sheetView workbookViewId="0">
      <selection activeCell="D9" sqref="D9"/>
    </sheetView>
  </sheetViews>
  <sheetFormatPr baseColWidth="10" defaultRowHeight="16" x14ac:dyDescent="0.2"/>
  <cols>
    <col min="1" max="1" width="22.83203125" bestFit="1" customWidth="1"/>
    <col min="2" max="2" width="8" bestFit="1" customWidth="1"/>
    <col min="3" max="3" width="18.5" bestFit="1" customWidth="1"/>
  </cols>
  <sheetData>
    <row r="1" spans="1:3" x14ac:dyDescent="0.2">
      <c r="A1" s="2" t="s">
        <v>100</v>
      </c>
      <c r="B1" s="2" t="s">
        <v>101</v>
      </c>
      <c r="C1" s="2" t="s">
        <v>102</v>
      </c>
    </row>
    <row r="2" spans="1:3" x14ac:dyDescent="0.2">
      <c r="A2" t="s">
        <v>103</v>
      </c>
      <c r="B2" t="s">
        <v>57</v>
      </c>
      <c r="C2" t="s">
        <v>104</v>
      </c>
    </row>
    <row r="3" spans="1:3" x14ac:dyDescent="0.2">
      <c r="A3" t="s">
        <v>105</v>
      </c>
      <c r="B3" t="s">
        <v>57</v>
      </c>
      <c r="C3" t="s">
        <v>106</v>
      </c>
    </row>
    <row r="4" spans="1:3" x14ac:dyDescent="0.2">
      <c r="A4" t="s">
        <v>107</v>
      </c>
      <c r="B4" t="s">
        <v>57</v>
      </c>
      <c r="C4" t="s">
        <v>108</v>
      </c>
    </row>
    <row r="5" spans="1:3" x14ac:dyDescent="0.2">
      <c r="A5" t="s">
        <v>109</v>
      </c>
      <c r="B5" t="s">
        <v>53</v>
      </c>
      <c r="C5" t="s">
        <v>110</v>
      </c>
    </row>
    <row r="6" spans="1:3" x14ac:dyDescent="0.2">
      <c r="A6" t="s">
        <v>111</v>
      </c>
      <c r="B6" t="s">
        <v>53</v>
      </c>
      <c r="C6" t="s">
        <v>112</v>
      </c>
    </row>
    <row r="7" spans="1:3" x14ac:dyDescent="0.2">
      <c r="A7" t="s">
        <v>113</v>
      </c>
      <c r="B7" t="s">
        <v>57</v>
      </c>
      <c r="C7" t="s">
        <v>114</v>
      </c>
    </row>
    <row r="8" spans="1:3" x14ac:dyDescent="0.2">
      <c r="A8" t="s">
        <v>115</v>
      </c>
      <c r="B8" t="s">
        <v>53</v>
      </c>
      <c r="C8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B0B0-752E-8544-834C-AC06A0830A44}">
  <dimension ref="A1:B8"/>
  <sheetViews>
    <sheetView workbookViewId="0">
      <selection activeCell="D7" sqref="D7"/>
    </sheetView>
  </sheetViews>
  <sheetFormatPr baseColWidth="10" defaultRowHeight="16" x14ac:dyDescent="0.2"/>
  <cols>
    <col min="1" max="1" width="12.1640625" bestFit="1" customWidth="1"/>
    <col min="2" max="2" width="9" bestFit="1" customWidth="1"/>
  </cols>
  <sheetData>
    <row r="1" spans="1:2" x14ac:dyDescent="0.2">
      <c r="A1" s="2" t="s">
        <v>46</v>
      </c>
      <c r="B1" s="2" t="s">
        <v>49</v>
      </c>
    </row>
    <row r="2" spans="1:2" x14ac:dyDescent="0.2">
      <c r="A2" t="s">
        <v>68</v>
      </c>
      <c r="B2" t="s">
        <v>67</v>
      </c>
    </row>
    <row r="3" spans="1:2" x14ac:dyDescent="0.2">
      <c r="A3" t="s">
        <v>69</v>
      </c>
      <c r="B3" t="s">
        <v>57</v>
      </c>
    </row>
    <row r="4" spans="1:2" x14ac:dyDescent="0.2">
      <c r="A4" t="s">
        <v>70</v>
      </c>
      <c r="B4" t="s">
        <v>57</v>
      </c>
    </row>
    <row r="5" spans="1:2" x14ac:dyDescent="0.2">
      <c r="A5" t="s">
        <v>71</v>
      </c>
      <c r="B5" t="s">
        <v>53</v>
      </c>
    </row>
    <row r="6" spans="1:2" x14ac:dyDescent="0.2">
      <c r="A6" t="s">
        <v>72</v>
      </c>
      <c r="B6" t="s">
        <v>53</v>
      </c>
    </row>
    <row r="7" spans="1:2" x14ac:dyDescent="0.2">
      <c r="A7" t="s">
        <v>73</v>
      </c>
      <c r="B7" t="s">
        <v>53</v>
      </c>
    </row>
    <row r="8" spans="1:2" x14ac:dyDescent="0.2">
      <c r="A8" t="s">
        <v>74</v>
      </c>
      <c r="B8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74EC-F41C-6A4B-A510-A5D8930CB468}">
  <dimension ref="A1:B9"/>
  <sheetViews>
    <sheetView workbookViewId="0">
      <selection activeCell="E9" sqref="E9"/>
    </sheetView>
  </sheetViews>
  <sheetFormatPr baseColWidth="10" defaultRowHeight="16" x14ac:dyDescent="0.2"/>
  <cols>
    <col min="1" max="1" width="20.83203125" bestFit="1" customWidth="1"/>
  </cols>
  <sheetData>
    <row r="1" spans="1:2" x14ac:dyDescent="0.2">
      <c r="A1" s="2" t="s">
        <v>37</v>
      </c>
      <c r="B1" s="2" t="s">
        <v>38</v>
      </c>
    </row>
    <row r="2" spans="1:2" x14ac:dyDescent="0.2">
      <c r="A2" t="s">
        <v>75</v>
      </c>
      <c r="B2">
        <v>3500</v>
      </c>
    </row>
    <row r="3" spans="1:2" x14ac:dyDescent="0.2">
      <c r="A3" t="s">
        <v>76</v>
      </c>
      <c r="B3">
        <v>8</v>
      </c>
    </row>
    <row r="4" spans="1:2" x14ac:dyDescent="0.2">
      <c r="A4" t="s">
        <v>77</v>
      </c>
      <c r="B4">
        <v>2.5</v>
      </c>
    </row>
    <row r="5" spans="1:2" x14ac:dyDescent="0.2">
      <c r="A5" t="s">
        <v>78</v>
      </c>
      <c r="B5">
        <v>700</v>
      </c>
    </row>
    <row r="6" spans="1:2" x14ac:dyDescent="0.2">
      <c r="A6" t="s">
        <v>79</v>
      </c>
      <c r="B6">
        <v>400</v>
      </c>
    </row>
    <row r="7" spans="1:2" x14ac:dyDescent="0.2">
      <c r="A7" t="s">
        <v>80</v>
      </c>
      <c r="B7">
        <v>65</v>
      </c>
    </row>
    <row r="8" spans="1:2" x14ac:dyDescent="0.2">
      <c r="A8" t="s">
        <v>81</v>
      </c>
      <c r="B8">
        <v>3</v>
      </c>
    </row>
    <row r="9" spans="1:2" x14ac:dyDescent="0.2">
      <c r="A9" t="s">
        <v>82</v>
      </c>
      <c r="B9">
        <v>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6387-E384-0848-9F6C-C45988D525CD}">
  <dimension ref="A1:C27"/>
  <sheetViews>
    <sheetView zoomScale="132" zoomScaleNormal="132" workbookViewId="0">
      <selection activeCell="C20" sqref="C20"/>
    </sheetView>
  </sheetViews>
  <sheetFormatPr baseColWidth="10" defaultRowHeight="16" x14ac:dyDescent="0.2"/>
  <cols>
    <col min="1" max="1" width="28.6640625" bestFit="1" customWidth="1"/>
    <col min="2" max="2" width="13.5" bestFit="1" customWidth="1"/>
    <col min="3" max="3" width="12.83203125" bestFit="1" customWidth="1"/>
  </cols>
  <sheetData>
    <row r="1" spans="1:2" x14ac:dyDescent="0.2">
      <c r="A1" t="s">
        <v>39</v>
      </c>
      <c r="B1" s="10" t="s">
        <v>140</v>
      </c>
    </row>
    <row r="2" spans="1:2" x14ac:dyDescent="0.2">
      <c r="A2" t="s">
        <v>129</v>
      </c>
      <c r="B2" s="7">
        <v>0.18</v>
      </c>
    </row>
    <row r="3" spans="1:2" x14ac:dyDescent="0.2">
      <c r="A3" t="s">
        <v>41</v>
      </c>
      <c r="B3">
        <f>45*18%</f>
        <v>8.1</v>
      </c>
    </row>
    <row r="4" spans="1:2" x14ac:dyDescent="0.2">
      <c r="A4" t="s">
        <v>130</v>
      </c>
      <c r="B4" s="9">
        <v>0.28000000000000003</v>
      </c>
    </row>
    <row r="5" spans="1:2" x14ac:dyDescent="0.2">
      <c r="A5" s="2" t="s">
        <v>135</v>
      </c>
      <c r="B5" s="2" t="s">
        <v>141</v>
      </c>
    </row>
    <row r="6" spans="1:2" x14ac:dyDescent="0.2">
      <c r="A6" t="s">
        <v>139</v>
      </c>
      <c r="B6" s="8">
        <v>8.1</v>
      </c>
    </row>
    <row r="7" spans="1:2" x14ac:dyDescent="0.2">
      <c r="A7" t="s">
        <v>43</v>
      </c>
      <c r="B7" s="8">
        <v>10.37</v>
      </c>
    </row>
    <row r="8" spans="1:2" x14ac:dyDescent="0.2">
      <c r="A8" t="s">
        <v>44</v>
      </c>
      <c r="B8" s="8">
        <v>13.27</v>
      </c>
    </row>
    <row r="9" spans="1:2" x14ac:dyDescent="0.2">
      <c r="A9" t="s">
        <v>45</v>
      </c>
      <c r="B9" s="8">
        <v>16.989999999999998</v>
      </c>
    </row>
    <row r="11" spans="1:2" x14ac:dyDescent="0.2">
      <c r="A11" s="2" t="s">
        <v>37</v>
      </c>
      <c r="B11" s="2" t="s">
        <v>138</v>
      </c>
    </row>
    <row r="12" spans="1:2" x14ac:dyDescent="0.2">
      <c r="A12" t="s">
        <v>131</v>
      </c>
      <c r="B12">
        <v>514</v>
      </c>
    </row>
    <row r="13" spans="1:2" x14ac:dyDescent="0.2">
      <c r="A13" t="s">
        <v>144</v>
      </c>
      <c r="B13">
        <f>B12*30%</f>
        <v>154.19999999999999</v>
      </c>
    </row>
    <row r="14" spans="1:2" x14ac:dyDescent="0.2">
      <c r="A14" t="s">
        <v>143</v>
      </c>
      <c r="B14">
        <f>B13*75%</f>
        <v>115.64999999999999</v>
      </c>
    </row>
    <row r="15" spans="1:2" x14ac:dyDescent="0.2">
      <c r="A15" t="s">
        <v>142</v>
      </c>
      <c r="B15">
        <f>B14*40%</f>
        <v>46.26</v>
      </c>
    </row>
    <row r="17" spans="1:3" x14ac:dyDescent="0.2">
      <c r="A17" t="s">
        <v>132</v>
      </c>
      <c r="B17" s="6">
        <f>B15</f>
        <v>46.26</v>
      </c>
    </row>
    <row r="18" spans="1:3" x14ac:dyDescent="0.2">
      <c r="A18" t="s">
        <v>133</v>
      </c>
      <c r="B18">
        <v>700</v>
      </c>
    </row>
    <row r="19" spans="1:3" x14ac:dyDescent="0.2">
      <c r="A19" t="s">
        <v>134</v>
      </c>
      <c r="B19" s="6">
        <f>(B17*B18)/10</f>
        <v>3238.2</v>
      </c>
    </row>
    <row r="20" spans="1:3" x14ac:dyDescent="0.2">
      <c r="A20" t="s">
        <v>145</v>
      </c>
      <c r="B20">
        <v>1.1299999999999999</v>
      </c>
    </row>
    <row r="22" spans="1:3" x14ac:dyDescent="0.2">
      <c r="A22" s="2" t="s">
        <v>135</v>
      </c>
      <c r="B22" s="2" t="s">
        <v>136</v>
      </c>
      <c r="C22" s="2" t="s">
        <v>137</v>
      </c>
    </row>
    <row r="23" spans="1:3" x14ac:dyDescent="0.2">
      <c r="A23">
        <v>1</v>
      </c>
      <c r="B23" s="5">
        <v>5.0000000000000001E-3</v>
      </c>
      <c r="C23">
        <f>$B$3*1000*B23</f>
        <v>40.5</v>
      </c>
    </row>
    <row r="24" spans="1:3" x14ac:dyDescent="0.2">
      <c r="A24">
        <v>2</v>
      </c>
      <c r="B24" s="5">
        <v>1.4999999999999999E-2</v>
      </c>
      <c r="C24">
        <f>$B$3*1000*B24</f>
        <v>121.5</v>
      </c>
    </row>
    <row r="25" spans="1:3" x14ac:dyDescent="0.2">
      <c r="A25">
        <v>3</v>
      </c>
      <c r="B25" s="5">
        <v>0.04</v>
      </c>
      <c r="C25">
        <f>$B$3*1000*B25</f>
        <v>324</v>
      </c>
    </row>
    <row r="26" spans="1:3" x14ac:dyDescent="0.2">
      <c r="A26">
        <v>4</v>
      </c>
      <c r="B26" s="5">
        <v>0.08</v>
      </c>
      <c r="C26">
        <f>$B$3*1000*B26</f>
        <v>648</v>
      </c>
    </row>
    <row r="27" spans="1:3" x14ac:dyDescent="0.2">
      <c r="A27">
        <v>5</v>
      </c>
      <c r="B27" s="5">
        <v>0.14000000000000001</v>
      </c>
      <c r="C27">
        <f>$B$3*1000*B27</f>
        <v>1134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9CFC-8EE3-1943-AC15-29D367383FF5}">
  <dimension ref="A1:G39"/>
  <sheetViews>
    <sheetView workbookViewId="0">
      <selection activeCell="R18" sqref="R18"/>
    </sheetView>
  </sheetViews>
  <sheetFormatPr baseColWidth="10" defaultRowHeight="16" x14ac:dyDescent="0.2"/>
  <cols>
    <col min="1" max="1" width="20.5" bestFit="1" customWidth="1"/>
    <col min="2" max="2" width="12.1640625" bestFit="1" customWidth="1"/>
    <col min="3" max="3" width="15.83203125" bestFit="1" customWidth="1"/>
    <col min="4" max="4" width="16.5" bestFit="1" customWidth="1"/>
  </cols>
  <sheetData>
    <row r="1" spans="1:7" x14ac:dyDescent="0.2">
      <c r="A1" s="2" t="s">
        <v>135</v>
      </c>
      <c r="B1" s="2" t="s">
        <v>146</v>
      </c>
      <c r="C1" s="2" t="s">
        <v>147</v>
      </c>
      <c r="D1" s="2" t="s">
        <v>148</v>
      </c>
      <c r="E1" s="2"/>
      <c r="F1" s="2"/>
      <c r="G1" s="2"/>
    </row>
    <row r="2" spans="1:7" x14ac:dyDescent="0.2">
      <c r="A2">
        <v>2025</v>
      </c>
      <c r="B2">
        <v>100000</v>
      </c>
      <c r="C2">
        <v>700</v>
      </c>
      <c r="D2" s="2">
        <f>(B2*C2)/10000000</f>
        <v>7</v>
      </c>
    </row>
    <row r="3" spans="1:7" x14ac:dyDescent="0.2">
      <c r="A3">
        <v>2026</v>
      </c>
      <c r="B3">
        <v>300000</v>
      </c>
      <c r="C3">
        <v>700</v>
      </c>
      <c r="D3" s="2">
        <f t="shared" ref="D3:D6" si="0">(B3*C3)/10000000</f>
        <v>21</v>
      </c>
    </row>
    <row r="4" spans="1:7" x14ac:dyDescent="0.2">
      <c r="A4">
        <v>2027</v>
      </c>
      <c r="B4">
        <v>800000</v>
      </c>
      <c r="C4">
        <v>700</v>
      </c>
      <c r="D4" s="2">
        <f t="shared" si="0"/>
        <v>56</v>
      </c>
    </row>
    <row r="5" spans="1:7" x14ac:dyDescent="0.2">
      <c r="A5">
        <v>2028</v>
      </c>
      <c r="B5">
        <v>1500000</v>
      </c>
      <c r="C5">
        <v>700</v>
      </c>
      <c r="D5" s="2">
        <f t="shared" si="0"/>
        <v>105</v>
      </c>
    </row>
    <row r="6" spans="1:7" x14ac:dyDescent="0.2">
      <c r="A6">
        <v>2029</v>
      </c>
      <c r="B6">
        <v>2500000</v>
      </c>
      <c r="C6">
        <v>700</v>
      </c>
      <c r="D6" s="2">
        <f t="shared" si="0"/>
        <v>175</v>
      </c>
    </row>
    <row r="8" spans="1:7" x14ac:dyDescent="0.2">
      <c r="A8" s="2" t="s">
        <v>135</v>
      </c>
      <c r="B8" s="2" t="s">
        <v>146</v>
      </c>
      <c r="C8" s="2" t="s">
        <v>79</v>
      </c>
      <c r="D8" s="2" t="s">
        <v>149</v>
      </c>
    </row>
    <row r="9" spans="1:7" x14ac:dyDescent="0.2">
      <c r="A9">
        <v>2025</v>
      </c>
      <c r="B9">
        <v>100000</v>
      </c>
      <c r="C9">
        <v>400</v>
      </c>
      <c r="D9">
        <f>(B9*C9)/10000000</f>
        <v>4</v>
      </c>
    </row>
    <row r="10" spans="1:7" x14ac:dyDescent="0.2">
      <c r="A10">
        <v>2026</v>
      </c>
      <c r="B10">
        <v>300000</v>
      </c>
      <c r="C10">
        <v>350</v>
      </c>
      <c r="D10">
        <f t="shared" ref="D10:D13" si="1">(B10*C10)/10000000</f>
        <v>10.5</v>
      </c>
    </row>
    <row r="11" spans="1:7" x14ac:dyDescent="0.2">
      <c r="A11">
        <v>2027</v>
      </c>
      <c r="B11">
        <v>800000</v>
      </c>
      <c r="C11">
        <v>300</v>
      </c>
      <c r="D11">
        <f t="shared" si="1"/>
        <v>24</v>
      </c>
    </row>
    <row r="12" spans="1:7" x14ac:dyDescent="0.2">
      <c r="A12">
        <v>2028</v>
      </c>
      <c r="B12">
        <v>1500000</v>
      </c>
      <c r="C12">
        <v>275</v>
      </c>
      <c r="D12">
        <f t="shared" si="1"/>
        <v>41.25</v>
      </c>
    </row>
    <row r="13" spans="1:7" x14ac:dyDescent="0.2">
      <c r="A13">
        <v>2029</v>
      </c>
      <c r="B13">
        <v>2500000</v>
      </c>
      <c r="C13">
        <v>250</v>
      </c>
      <c r="D13">
        <f t="shared" si="1"/>
        <v>62.5</v>
      </c>
    </row>
    <row r="15" spans="1:7" x14ac:dyDescent="0.2">
      <c r="A15" s="2" t="s">
        <v>135</v>
      </c>
      <c r="B15" s="2" t="s">
        <v>146</v>
      </c>
      <c r="C15" s="2" t="s">
        <v>150</v>
      </c>
      <c r="D15" s="2" t="s">
        <v>151</v>
      </c>
    </row>
    <row r="16" spans="1:7" x14ac:dyDescent="0.2">
      <c r="A16">
        <v>2025</v>
      </c>
      <c r="B16">
        <v>100000</v>
      </c>
      <c r="C16">
        <v>255</v>
      </c>
      <c r="D16">
        <f>(B16*C16)/10000000</f>
        <v>2.5499999999999998</v>
      </c>
    </row>
    <row r="17" spans="1:4" x14ac:dyDescent="0.2">
      <c r="A17">
        <v>2026</v>
      </c>
      <c r="B17">
        <v>300000</v>
      </c>
      <c r="C17">
        <v>255</v>
      </c>
      <c r="D17">
        <f t="shared" ref="D17:D20" si="2">(B17*C17)/10000000</f>
        <v>7.65</v>
      </c>
    </row>
    <row r="18" spans="1:4" x14ac:dyDescent="0.2">
      <c r="A18">
        <v>2027</v>
      </c>
      <c r="B18">
        <v>800000</v>
      </c>
      <c r="C18">
        <v>255</v>
      </c>
      <c r="D18">
        <f t="shared" si="2"/>
        <v>20.399999999999999</v>
      </c>
    </row>
    <row r="19" spans="1:4" x14ac:dyDescent="0.2">
      <c r="A19">
        <v>2028</v>
      </c>
      <c r="B19">
        <v>1500000</v>
      </c>
      <c r="C19">
        <v>255</v>
      </c>
      <c r="D19">
        <f t="shared" si="2"/>
        <v>38.25</v>
      </c>
    </row>
    <row r="20" spans="1:4" x14ac:dyDescent="0.2">
      <c r="A20">
        <v>2029</v>
      </c>
      <c r="B20">
        <v>2500000</v>
      </c>
      <c r="C20">
        <v>255</v>
      </c>
      <c r="D20">
        <f t="shared" si="2"/>
        <v>63.75</v>
      </c>
    </row>
    <row r="22" spans="1:4" x14ac:dyDescent="0.2">
      <c r="A22" t="s">
        <v>37</v>
      </c>
      <c r="B22" t="s">
        <v>38</v>
      </c>
    </row>
    <row r="23" spans="1:4" x14ac:dyDescent="0.2">
      <c r="A23" t="s">
        <v>152</v>
      </c>
      <c r="B23">
        <v>20</v>
      </c>
    </row>
    <row r="24" spans="1:4" x14ac:dyDescent="0.2">
      <c r="A24" t="s">
        <v>153</v>
      </c>
      <c r="B24">
        <v>255</v>
      </c>
    </row>
    <row r="25" spans="1:4" x14ac:dyDescent="0.2">
      <c r="A25" t="s">
        <v>154</v>
      </c>
      <c r="B25">
        <f>(B23*10000000)/B24</f>
        <v>784313.72549019603</v>
      </c>
    </row>
    <row r="27" spans="1:4" x14ac:dyDescent="0.2">
      <c r="A27" s="2" t="s">
        <v>37</v>
      </c>
      <c r="B27" s="2" t="s">
        <v>38</v>
      </c>
    </row>
    <row r="28" spans="1:4" x14ac:dyDescent="0.2">
      <c r="A28" t="s">
        <v>155</v>
      </c>
      <c r="B28">
        <v>800000</v>
      </c>
    </row>
    <row r="29" spans="1:4" x14ac:dyDescent="0.2">
      <c r="A29" t="s">
        <v>154</v>
      </c>
      <c r="B29">
        <v>784314</v>
      </c>
    </row>
    <row r="30" spans="1:4" x14ac:dyDescent="0.2">
      <c r="A30" t="s">
        <v>84</v>
      </c>
      <c r="B30" t="str">
        <f>IF(B28&gt;B25,"Achieved","Not Achieved")</f>
        <v>Achieved</v>
      </c>
    </row>
    <row r="35" spans="1:2" x14ac:dyDescent="0.2">
      <c r="A35" t="s">
        <v>156</v>
      </c>
      <c r="B35">
        <v>2500000</v>
      </c>
    </row>
    <row r="36" spans="1:2" x14ac:dyDescent="0.2">
      <c r="A36" t="s">
        <v>157</v>
      </c>
      <c r="B36">
        <v>175</v>
      </c>
    </row>
    <row r="37" spans="1:2" x14ac:dyDescent="0.2">
      <c r="A37" t="s">
        <v>158</v>
      </c>
      <c r="B37">
        <v>63.75</v>
      </c>
    </row>
    <row r="38" spans="1:2" x14ac:dyDescent="0.2">
      <c r="A38" t="s">
        <v>154</v>
      </c>
      <c r="B38">
        <v>784314</v>
      </c>
    </row>
    <row r="39" spans="1:2" x14ac:dyDescent="0.2">
      <c r="A39" t="s">
        <v>159</v>
      </c>
      <c r="B39" t="s">
        <v>160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51AC-4B92-7D47-AFCB-A4455CC95736}">
  <dimension ref="A1"/>
  <sheetViews>
    <sheetView workbookViewId="0">
      <selection activeCell="R32" sqref="R32"/>
    </sheetView>
  </sheetViews>
  <sheetFormatPr baseColWidth="10" defaultRowHeight="16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99BE-5FE9-154B-B009-664C73765D1D}">
  <dimension ref="A1"/>
  <sheetViews>
    <sheetView workbookViewId="0">
      <selection activeCell="T41" sqref="T41"/>
    </sheetView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E286-6E48-E24E-9932-0C542045FE93}">
  <dimension ref="A2:C10"/>
  <sheetViews>
    <sheetView workbookViewId="0">
      <selection activeCell="A2" sqref="A2:D12"/>
    </sheetView>
  </sheetViews>
  <sheetFormatPr baseColWidth="10" defaultRowHeight="16" x14ac:dyDescent="0.2"/>
  <cols>
    <col min="1" max="1" width="17.6640625" bestFit="1" customWidth="1"/>
    <col min="3" max="3" width="11.83203125" bestFit="1" customWidth="1"/>
  </cols>
  <sheetData>
    <row r="2" spans="1:3" x14ac:dyDescent="0.2">
      <c r="A2" t="s">
        <v>41</v>
      </c>
      <c r="B2">
        <v>8.1</v>
      </c>
      <c r="C2">
        <f>COUNTA('5_Competitors'!A2:A7)</f>
        <v>6</v>
      </c>
    </row>
    <row r="3" spans="1:3" ht="17" x14ac:dyDescent="0.25">
      <c r="A3" t="s">
        <v>161</v>
      </c>
      <c r="B3" s="4">
        <v>0.28000000000000003</v>
      </c>
      <c r="C3" s="12" t="str">
        <f>INDEX('5_Competitors'!A2:A7,MATCH(MAX('5_Competitors'!C2:C7),'5_Competitors'!C2:C7,0))</f>
        <v>Bajaj Finance</v>
      </c>
    </row>
    <row r="4" spans="1:3" ht="17" x14ac:dyDescent="0.25">
      <c r="A4" t="s">
        <v>162</v>
      </c>
      <c r="B4" t="s">
        <v>0</v>
      </c>
      <c r="C4" s="12" t="str">
        <f>INDEX('4_State_Data'!A:A,MATCH(MAX('4_State_Data'!B:B),'4_State_Data'!B:B,0))</f>
        <v>Uttar Pradesh</v>
      </c>
    </row>
    <row r="5" spans="1:3" ht="17" x14ac:dyDescent="0.25">
      <c r="A5" t="s">
        <v>163</v>
      </c>
      <c r="B5" t="s">
        <v>34</v>
      </c>
      <c r="C5" s="12" t="str">
        <f>INDEX('5_Competitors'!A2:A7,MATCH(MAX('5_Competitors'!C2:C7),'5_Competitors'!C2:C7,0))</f>
        <v>Bajaj Finance</v>
      </c>
    </row>
    <row r="6" spans="1:3" ht="17" x14ac:dyDescent="0.25">
      <c r="A6" t="s">
        <v>164</v>
      </c>
      <c r="B6" t="s">
        <v>165</v>
      </c>
      <c r="C6" s="12">
        <f>SUM('5_Competitors'!C2:C7)</f>
        <v>165</v>
      </c>
    </row>
    <row r="7" spans="1:3" ht="17" x14ac:dyDescent="0.25">
      <c r="A7" t="s">
        <v>147</v>
      </c>
      <c r="B7" s="11">
        <v>700</v>
      </c>
      <c r="C7" s="12">
        <f>MAX('5_Competitors'!B:B)</f>
        <v>0</v>
      </c>
    </row>
    <row r="8" spans="1:3" ht="17" x14ac:dyDescent="0.25">
      <c r="A8" t="s">
        <v>166</v>
      </c>
      <c r="B8" s="11">
        <v>255</v>
      </c>
      <c r="C8" s="12">
        <f>SUM('5_Competitors'!B:B)</f>
        <v>0</v>
      </c>
    </row>
    <row r="9" spans="1:3" x14ac:dyDescent="0.2">
      <c r="A9" t="s">
        <v>167</v>
      </c>
      <c r="B9" t="s">
        <v>168</v>
      </c>
    </row>
    <row r="10" spans="1:3" x14ac:dyDescent="0.2">
      <c r="A10" t="s">
        <v>169</v>
      </c>
      <c r="B10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1_RBI_Data</vt:lpstr>
      <vt:lpstr>2_UPI_Data</vt:lpstr>
      <vt:lpstr>3_Population</vt:lpstr>
      <vt:lpstr>4_State_Data</vt:lpstr>
      <vt:lpstr>5_Competitors</vt:lpstr>
      <vt:lpstr>6_BNPL_Market</vt:lpstr>
      <vt:lpstr>7_Customer_Segments</vt:lpstr>
      <vt:lpstr>8_Risks_Regulation</vt:lpstr>
      <vt:lpstr>9_Merchant_Segments</vt:lpstr>
      <vt:lpstr>10_Unit_Economics</vt:lpstr>
      <vt:lpstr>11_Market_Sizing</vt:lpstr>
      <vt:lpstr>12_Financial_Model</vt:lpstr>
      <vt:lpstr>13_Executive_Dashboard</vt:lpstr>
      <vt:lpstr>14_Launch_Priority_Matrix</vt:lpstr>
      <vt:lpstr>15_GTM_Recommendation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gupta</dc:creator>
  <cp:lastModifiedBy>sumit gupta</cp:lastModifiedBy>
  <dcterms:created xsi:type="dcterms:W3CDTF">2026-06-05T16:25:43Z</dcterms:created>
  <dcterms:modified xsi:type="dcterms:W3CDTF">2026-06-11T16:04:06Z</dcterms:modified>
</cp:coreProperties>
</file>